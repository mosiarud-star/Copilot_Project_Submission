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jnj-my.sharepoint.com/personal/mrudniko_its_jnj_com/Documents/Desktop/Udacity Training/Task/task-1/task-1/"/>
    </mc:Choice>
  </mc:AlternateContent>
  <xr:revisionPtr revIDLastSave="101" documentId="13_ncr:1_{3DC84FEB-BE3A-384B-85A9-E3B6F47D6498}" xr6:coauthVersionLast="47" xr6:coauthVersionMax="47" xr10:uidLastSave="{EE30467D-D071-460C-8DF9-0AE73D3E71AE}"/>
  <bookViews>
    <workbookView xWindow="-110" yWindow="-110" windowWidth="22620" windowHeight="13500" tabRatio="839" activeTab="1" xr2:uid="{00000000-000D-0000-FFFF-FFFF00000000}"/>
  </bookViews>
  <sheets>
    <sheet name="Dataset" sheetId="1" r:id="rId1"/>
    <sheet name="Analysi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9" l="1"/>
  <c r="C41" i="9"/>
  <c r="C40" i="9"/>
  <c r="C39" i="9"/>
  <c r="C38" i="9"/>
  <c r="B38" i="9"/>
  <c r="B39" i="9"/>
  <c r="B40" i="9"/>
  <c r="B41" i="9"/>
  <c r="B42" i="9"/>
  <c r="D34" i="9" a="1"/>
  <c r="D34" i="9" s="1"/>
  <c r="D33" i="9" a="1"/>
  <c r="D33" i="9" s="1"/>
  <c r="D32" i="9" a="1"/>
  <c r="D32" i="9" s="1"/>
  <c r="D31" i="9" a="1"/>
  <c r="D31" i="9" s="1"/>
  <c r="D30" i="9" a="1"/>
  <c r="D30" i="9" s="1"/>
  <c r="D29" i="9" a="1"/>
  <c r="D29" i="9" s="1"/>
  <c r="B21" i="9"/>
  <c r="C21" i="9"/>
  <c r="D21" i="9"/>
  <c r="E21" i="9"/>
  <c r="F21" i="9"/>
  <c r="B22" i="9"/>
  <c r="C22" i="9"/>
  <c r="D22" i="9"/>
  <c r="E22" i="9"/>
  <c r="F22" i="9"/>
  <c r="B23" i="9"/>
  <c r="C23" i="9"/>
  <c r="D23" i="9"/>
  <c r="E23" i="9"/>
  <c r="F23" i="9"/>
  <c r="B24" i="9"/>
  <c r="C24" i="9"/>
  <c r="D24" i="9"/>
  <c r="E24" i="9"/>
  <c r="F24" i="9"/>
  <c r="B25" i="9"/>
  <c r="C25" i="9"/>
  <c r="D25" i="9"/>
  <c r="E25" i="9"/>
  <c r="F25" i="9"/>
  <c r="B17" i="9"/>
  <c r="C17" i="9"/>
  <c r="B14" i="9"/>
  <c r="C14" i="9"/>
  <c r="B15" i="9"/>
  <c r="C15" i="9"/>
  <c r="B16" i="9"/>
  <c r="C16" i="9"/>
  <c r="B8" i="9"/>
  <c r="B9" i="9"/>
  <c r="B1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<sst xmlns="http://schemas.openxmlformats.org/spreadsheetml/2006/main" count="393" uniqueCount="215">
  <si>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</si>
  <si>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</si>
  <si>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</si>
  <si>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</si>
  <si>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</si>
  <si>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</si>
  <si>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</si>
  <si>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</si>
  <si>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</si>
  <si>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</si>
  <si>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</si>
  <si>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</si>
  <si>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</si>
  <si>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</si>
  <si>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</si>
  <si>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</si>
  <si>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</si>
  <si>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</si>
  <si>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</si>
  <si>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</si>
  <si>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</si>
  <si>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</si>
  <si>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</si>
  <si>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</si>
  <si>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</si>
  <si>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</si>
  <si>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</si>
  <si>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</si>
  <si>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</si>
  <si>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</si>
  <si>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</si>
  <si>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</si>
  <si>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</si>
  <si>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</si>
  <si>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</si>
  <si>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</si>
  <si>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</si>
  <si>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</si>
  <si>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</si>
  <si>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</si>
  <si>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</si>
  <si>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</si>
  <si>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</si>
  <si>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</si>
  <si>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</si>
  <si>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</si>
  <si>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</si>
  <si>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</si>
  <si>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</si>
  <si>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</si>
  <si>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</si>
  <si>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</si>
  <si>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</si>
  <si>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</si>
  <si>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</si>
  <si>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</si>
  <si>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</si>
  <si>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</si>
  <si>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</si>
  <si>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</si>
  <si>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</si>
  <si>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</si>
  <si>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</si>
  <si>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</si>
  <si>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</si>
  <si>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</si>
  <si>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</si>
  <si>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</si>
  <si>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</si>
  <si>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</si>
  <si>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</si>
  <si>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</si>
  <si>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</si>
  <si>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</si>
  <si>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</si>
  <si>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</si>
  <si>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</si>
  <si>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</si>
  <si>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</si>
  <si>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</si>
  <si>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</si>
  <si>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</si>
  <si>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</si>
  <si>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</si>
  <si>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</si>
  <si>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</si>
  <si>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</si>
  <si>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</si>
  <si>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</si>
  <si>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</si>
  <si>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</si>
  <si>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</si>
  <si>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</si>
  <si>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</si>
  <si>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</si>
  <si>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</si>
  <si>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</si>
  <si>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</si>
  <si>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</si>
  <si>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</si>
  <si>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</si>
  <si>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</si>
  <si>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</si>
  <si>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</si>
  <si>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</si>
  <si>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</si>
  <si>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</si>
  <si>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</si>
  <si>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</si>
  <si>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</si>
  <si>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</si>
  <si>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</si>
  <si>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</si>
  <si>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</si>
  <si>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</si>
  <si>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</si>
  <si>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</si>
  <si>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</si>
  <si>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</si>
  <si>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</si>
  <si>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</si>
  <si>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</si>
  <si>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</si>
  <si>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</si>
  <si>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</si>
  <si>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</si>
  <si>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 xml:space="preserve">Supply Chain Receipt Date </t>
  </si>
  <si>
    <t>Delivery Timeline</t>
  </si>
  <si>
    <t>Issue Summary</t>
  </si>
  <si>
    <t>Supplier Analysis</t>
  </si>
  <si>
    <t>Risk Factors</t>
  </si>
  <si>
    <t>Component Specific Changes</t>
  </si>
  <si>
    <t>10 days</t>
  </si>
  <si>
    <t>13 days</t>
  </si>
  <si>
    <t>8 days</t>
  </si>
  <si>
    <t>The component has a confirmed delay, with receipt scheduled close to critical production deadlines. EcoSupply’s reliability and defect rates warrant further review, given the FDA’s emphasis on consistent supply for regulated products.</t>
  </si>
  <si>
    <t>PrimeLogistics has experienced lead time variances that pose additional risks for this component. A 13-day timeline exceeds typical thresholds and may necessitate expedited shipping, potentially increasing costs and reducing margin.</t>
  </si>
  <si>
    <t>Delays from NextGen Pharma highlight systemic challenges, including forecasting inaccuracies and inventory mismanagement. These issues could disrupt production and hinder compliance with FDA regulations.</t>
  </si>
  <si>
    <t>EcoSupply’s delivery metrics reveal recurring delays for critical components. Supply chain receipt tracking shows an increasing trend of shipment delays over the past quarter.</t>
  </si>
  <si>
    <t>Medium risk with limited contingency plans. High reliance on EcoSupply’s consistency amplifies vulnerability.</t>
  </si>
  <si>
    <t>PrimeLogistics’ lead time variance (up to 3 days) indicates weak demand forecasting.</t>
  </si>
  <si>
    <t>Medium risk with significant variability in supplier performance.</t>
  </si>
  <si>
    <t>NextGen Pharma faces challenges in aligning production schedules with customer demands.</t>
  </si>
  <si>
    <t>Medium risk with potential defects, highlighting a need for improved supplier communication.</t>
  </si>
  <si>
    <t>Negotiate expedited shipping terms with EcoSupply. 
Increase inventory buffer to mitigate future delays.</t>
  </si>
  <si>
    <t>Collaborate with PrimeLogistics on demand planning. 
Adjust order cycles to account for lead time variances.</t>
  </si>
  <si>
    <t>Engage NextGen Pharma to improve forecasting accuracy. 
Implement dynamic inventory replenishment models.</t>
  </si>
  <si>
    <t>1. Average Delivery Timeline by Risk Level</t>
  </si>
  <si>
    <t>Avg Delivery Timeline (Days)</t>
  </si>
  <si>
    <t>2. On-Time Delivery Rate for Delayed Components</t>
  </si>
  <si>
    <t>Count of Records</t>
  </si>
  <si>
    <t>Overall Average</t>
  </si>
  <si>
    <t>3. Supplier Performance Breakdown</t>
  </si>
  <si>
    <t>Avg On-Time Delivery (%)</t>
  </si>
  <si>
    <t>Avg Reliability (%)</t>
  </si>
  <si>
    <t>Avg Defect Rate (%)</t>
  </si>
  <si>
    <t>Avg Lead Time Variance (Days)</t>
  </si>
  <si>
    <t>Component Count</t>
  </si>
  <si>
    <t>4. Identified Supply Chain Issues</t>
  </si>
  <si>
    <t>Issue Category</t>
  </si>
  <si>
    <t>Metric</t>
  </si>
  <si>
    <t>Threshold</t>
  </si>
  <si>
    <t>Affected Components</t>
  </si>
  <si>
    <t>Severity</t>
  </si>
  <si>
    <t>High Defect Rate</t>
  </si>
  <si>
    <t>Defect Rate &gt; 3%</t>
  </si>
  <si>
    <t>Poor On-Time Delivery</t>
  </si>
  <si>
    <t>On-Time Delivery &lt; 85%</t>
  </si>
  <si>
    <t>Critical</t>
  </si>
  <si>
    <t>Lead Time Variability</t>
  </si>
  <si>
    <t>Lead Time Variance &gt; 8 days</t>
  </si>
  <si>
    <t>Unreliable Suppliers</t>
  </si>
  <si>
    <t>Supplier Reliability &lt; 90%</t>
  </si>
  <si>
    <t>High Backorder Volume</t>
  </si>
  <si>
    <t>Backorder &gt; 400 units</t>
  </si>
  <si>
    <t>400 units</t>
  </si>
  <si>
    <t>Poor Forecast Accuracy</t>
  </si>
  <si>
    <t>Forecast Accuracy &lt; 85%</t>
  </si>
  <si>
    <t>5. Key Metrics Summary</t>
  </si>
  <si>
    <t>Value</t>
  </si>
  <si>
    <t>Status</t>
  </si>
  <si>
    <t>Components with Critical Issues (On-Time &lt;85%)</t>
  </si>
  <si>
    <t>Components with High Defect Rate (&gt;3%)</t>
  </si>
  <si>
    <t>Average On-Time Delivery Rate</t>
  </si>
  <si>
    <t>Average Supplier Reliability</t>
  </si>
  <si>
    <t>Total Backorder Volume</t>
  </si>
  <si>
    <t>6. Actionable Insights &amp; Recommendations</t>
  </si>
  <si>
    <t>Priority</t>
  </si>
  <si>
    <t>Issue</t>
  </si>
  <si>
    <t>Recommendation</t>
  </si>
  <si>
    <t>Expected Impact</t>
  </si>
  <si>
    <t>1 - Critical</t>
  </si>
  <si>
    <t>COAT890 has lowest on-time delivery (84.2%)</t>
  </si>
  <si>
    <t>Establish dual-sourcing with backup supplier; Implement expedited shipping protocols</t>
  </si>
  <si>
    <t>Improve delivery rate by 10-15%</t>
  </si>
  <si>
    <t>2 - High</t>
  </si>
  <si>
    <t>EcoSupply underperforming (87.9% on-time)</t>
  </si>
  <si>
    <t>Renegotiate SLAs with penalty clauses; Conduct quarterly performance reviews</t>
  </si>
  <si>
    <t>Reduce delays by 5-8%</t>
  </si>
  <si>
    <t>3 - High</t>
  </si>
  <si>
    <t>High-risk components have shortest lead times</t>
  </si>
  <si>
    <t>Increase safety stock for high-risk items; Pre-position inventory at regional hubs</t>
  </si>
  <si>
    <t>Reduce stockout risk by 20%</t>
  </si>
  <si>
    <t>4 - Medium</t>
  </si>
  <si>
    <t>Lead time variance exceeds 8 days for multiple components</t>
  </si>
  <si>
    <t>Implement real-time tracking; Require advance shipping notices (ASN)</t>
  </si>
  <si>
    <t>Reduce variance by 3-4 days</t>
  </si>
  <si>
    <t>5 - Medium</t>
  </si>
  <si>
    <t>High backorder volumes affecting production</t>
  </si>
  <si>
    <t>Adjust reorder points using dynamic safety stock models; Increase order frequency</t>
  </si>
  <si>
    <t>Reduce backorders by 25%</t>
  </si>
  <si>
    <t>6 - Medium</t>
  </si>
  <si>
    <t>Forecast accuracy below 85% for several components</t>
  </si>
  <si>
    <t>Deploy AI-driven demand forecasting; Collaborate with sales for better visibility</t>
  </si>
  <si>
    <t>Improve accuracy to 90%+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</si>
</sst>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  <xf numFmtId="0" fontId="3" fillId="0" borderId="0" xfId="0" applyFont="1"/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wrapText="1"/>
    </xf>
    <xf numFmtId="2" fontId="0" fillId="0" borderId="0" xfId="0" applyNumberFormat="1"/>
    <xf numFmtId="0" fontId="4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0" fontId="5" fillId="4" borderId="1" xfId="0" applyFont="1" applyFill="1" applyBorder="1"/>
    <xf numFmtId="0" fontId="0" fillId="5" borderId="1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G6" sqref="G6"/>
    </sheetView>
  </sheetViews>
  <sheetFormatPr defaultColWidth="13" defaultRowHeight="14.5" x14ac:dyDescent="0.35"/>
  <cols>
    <col min="4" max="4" width="13" style="1"/>
    <col min="7" max="7" width="13.453125" customWidth="1"/>
  </cols>
  <sheetData>
    <row r="1" spans="1:20" s="4" customFormat="1" ht="43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3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3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3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3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3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3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3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3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3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3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3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3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3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3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3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3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3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3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3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3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3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3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3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3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3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3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3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3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3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3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3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3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3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3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3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3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3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3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3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3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3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3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3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3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3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3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3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3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3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51"/>
  <sheetViews>
    <sheetView tabSelected="1" topLeftCell="A26" workbookViewId="0">
      <selection activeCell="I3" sqref="I3"/>
    </sheetView>
  </sheetViews>
  <sheetFormatPr defaultColWidth="8.81640625" defaultRowHeight="14.5" x14ac:dyDescent="0.35"/>
  <cols>
    <col min="1" max="1" width="47.1796875" bestFit="1" customWidth="1"/>
    <col min="2" max="2" width="51.08984375" bestFit="1" customWidth="1"/>
    <col min="3" max="4" width="54.54296875" customWidth="1"/>
    <col min="5" max="5" width="26.54296875" bestFit="1" customWidth="1"/>
    <col min="6" max="9" width="20.1796875" style="4" customWidth="1"/>
    <col min="10" max="11" width="20.1796875" customWidth="1"/>
  </cols>
  <sheetData>
    <row r="1" spans="1:9" ht="29" x14ac:dyDescent="0.35">
      <c r="A1" t="s">
        <v>124</v>
      </c>
      <c r="B1" t="s">
        <v>125</v>
      </c>
      <c r="C1" t="s">
        <v>126</v>
      </c>
      <c r="D1" t="s">
        <v>4</v>
      </c>
      <c r="E1" t="s">
        <v>127</v>
      </c>
      <c r="F1" s="4" t="s">
        <v>128</v>
      </c>
      <c r="G1" s="4" t="s">
        <v>129</v>
      </c>
      <c r="H1" s="4" t="s">
        <v>130</v>
      </c>
      <c r="I1" s="4" t="s">
        <v>131</v>
      </c>
    </row>
    <row r="2" spans="1:9" ht="174" x14ac:dyDescent="0.35">
      <c r="A2" t="s">
        <v>21</v>
      </c>
      <c r="B2" t="s">
        <v>64</v>
      </c>
      <c r="C2" s="5">
        <v>45641</v>
      </c>
      <c r="D2" t="s">
        <v>68</v>
      </c>
      <c r="E2" t="s">
        <v>132</v>
      </c>
      <c r="F2" s="4" t="s">
        <v>135</v>
      </c>
      <c r="G2" s="4" t="s">
        <v>138</v>
      </c>
      <c r="H2" s="4" t="s">
        <v>139</v>
      </c>
      <c r="I2" s="4" t="s">
        <v>144</v>
      </c>
    </row>
    <row r="3" spans="1:9" ht="174" x14ac:dyDescent="0.35">
      <c r="A3" t="s">
        <v>54</v>
      </c>
      <c r="B3" t="s">
        <v>66</v>
      </c>
      <c r="C3" s="5">
        <v>45644</v>
      </c>
      <c r="D3" t="s">
        <v>68</v>
      </c>
      <c r="E3" t="s">
        <v>133</v>
      </c>
      <c r="F3" s="4" t="s">
        <v>136</v>
      </c>
      <c r="G3" s="4" t="s">
        <v>140</v>
      </c>
      <c r="H3" s="4" t="s">
        <v>141</v>
      </c>
      <c r="I3" s="4" t="s">
        <v>145</v>
      </c>
    </row>
    <row r="4" spans="1:9" ht="159.5" x14ac:dyDescent="0.35">
      <c r="A4" t="s">
        <v>55</v>
      </c>
      <c r="B4" t="s">
        <v>65</v>
      </c>
      <c r="C4" s="5">
        <v>45645</v>
      </c>
      <c r="D4" t="s">
        <v>68</v>
      </c>
      <c r="E4" t="s">
        <v>134</v>
      </c>
      <c r="F4" s="4" t="s">
        <v>137</v>
      </c>
      <c r="G4" s="4" t="s">
        <v>142</v>
      </c>
      <c r="H4" s="4" t="s">
        <v>143</v>
      </c>
      <c r="I4" s="4" t="s">
        <v>146</v>
      </c>
    </row>
    <row r="6" spans="1:9" ht="15.5" x14ac:dyDescent="0.35">
      <c r="A6" s="7" t="s">
        <v>147</v>
      </c>
    </row>
    <row r="7" spans="1:9" x14ac:dyDescent="0.35">
      <c r="A7" s="6" t="s">
        <v>4</v>
      </c>
      <c r="B7" s="6" t="s">
        <v>148</v>
      </c>
    </row>
    <row r="8" spans="1:9" x14ac:dyDescent="0.35">
      <c r="A8" t="s">
        <v>69</v>
      </c>
      <c r="B8" s="8">
        <f>AVERAGEIF(Dataset!E:E,"High",Dataset!C:C)</f>
        <v>11.25</v>
      </c>
    </row>
    <row r="9" spans="1:9" x14ac:dyDescent="0.35">
      <c r="A9" t="s">
        <v>68</v>
      </c>
      <c r="B9" s="8">
        <f>AVERAGEIF(Dataset!E:E,"Medium",Dataset!C:C)</f>
        <v>15.125</v>
      </c>
    </row>
    <row r="10" spans="1:9" x14ac:dyDescent="0.35">
      <c r="A10" t="s">
        <v>67</v>
      </c>
      <c r="B10" s="8">
        <f>AVERAGEIF(Dataset!E:E,"Low",Dataset!C:C)</f>
        <v>12.857142857142858</v>
      </c>
    </row>
    <row r="12" spans="1:9" ht="15.5" x14ac:dyDescent="0.35">
      <c r="A12" s="7" t="s">
        <v>149</v>
      </c>
    </row>
    <row r="13" spans="1:9" x14ac:dyDescent="0.35">
      <c r="A13" s="6" t="s">
        <v>124</v>
      </c>
      <c r="B13" s="6" t="s">
        <v>14</v>
      </c>
      <c r="C13" s="6" t="s">
        <v>150</v>
      </c>
    </row>
    <row r="14" spans="1:9" x14ac:dyDescent="0.35">
      <c r="A14" t="s">
        <v>20</v>
      </c>
      <c r="B14" s="8">
        <f>AVERAGEIF(Dataset!A:A,"CARB123",Dataset!P:P)</f>
        <v>90.25</v>
      </c>
      <c r="C14">
        <f>COUNTIF(Dataset!A:A,"CARB123")</f>
        <v>4</v>
      </c>
    </row>
    <row r="15" spans="1:9" x14ac:dyDescent="0.35">
      <c r="A15" t="s">
        <v>21</v>
      </c>
      <c r="B15" s="8">
        <f>AVERAGEIF(Dataset!A:A,"BIND567",Dataset!P:P)</f>
        <v>99</v>
      </c>
      <c r="C15">
        <f>COUNTIF(Dataset!A:A,"BIND567")</f>
        <v>1</v>
      </c>
    </row>
    <row r="16" spans="1:9" x14ac:dyDescent="0.35">
      <c r="A16" t="s">
        <v>19</v>
      </c>
      <c r="B16" s="8">
        <f>AVERAGEIF(Dataset!A:A,"COAT890",Dataset!P:P)</f>
        <v>84.2</v>
      </c>
      <c r="C16">
        <f>COUNTIF(Dataset!A:A,"COAT890")</f>
        <v>5</v>
      </c>
    </row>
    <row r="17" spans="1:6" x14ac:dyDescent="0.35">
      <c r="A17" s="6" t="s">
        <v>151</v>
      </c>
      <c r="B17" s="9">
        <f>AVERAGE(B14:B16)</f>
        <v>91.149999999999991</v>
      </c>
      <c r="C17" s="6">
        <f>SUM(C14:C16)</f>
        <v>10</v>
      </c>
    </row>
    <row r="19" spans="1:6" ht="15.5" x14ac:dyDescent="0.35">
      <c r="A19" s="7" t="s">
        <v>152</v>
      </c>
    </row>
    <row r="20" spans="1:6" x14ac:dyDescent="0.35">
      <c r="A20" s="6" t="s">
        <v>125</v>
      </c>
      <c r="B20" s="6" t="s">
        <v>153</v>
      </c>
      <c r="C20" s="6" t="s">
        <v>154</v>
      </c>
      <c r="D20" s="6" t="s">
        <v>155</v>
      </c>
      <c r="E20" s="6" t="s">
        <v>156</v>
      </c>
      <c r="F20" s="10" t="s">
        <v>157</v>
      </c>
    </row>
    <row r="21" spans="1:6" x14ac:dyDescent="0.35">
      <c r="A21" t="s">
        <v>64</v>
      </c>
      <c r="B21" s="8">
        <f>AVERAGEIF(Dataset!B:B,"EcoSupply",Dataset!P:P)</f>
        <v>87.9</v>
      </c>
      <c r="C21" s="8">
        <f>AVERAGEIF(Dataset!B:B,"EcoSupply",Dataset!J:J)</f>
        <v>93.2</v>
      </c>
      <c r="D21" s="11">
        <f>AVERAGEIF(Dataset!B:B,"EcoSupply",Dataset!H:H)</f>
        <v>2.4980000000000002</v>
      </c>
      <c r="E21" s="8">
        <f>AVERAGEIF(Dataset!B:B,"EcoSupply",Dataset!M:M)</f>
        <v>7.4</v>
      </c>
      <c r="F21" s="4">
        <f>COUNTIF(Dataset!B:B,"EcoSupply")</f>
        <v>10</v>
      </c>
    </row>
    <row r="22" spans="1:6" x14ac:dyDescent="0.35">
      <c r="A22" t="s">
        <v>63</v>
      </c>
      <c r="B22" s="8">
        <f>AVERAGEIF(Dataset!B:B,"RawMatPlus",Dataset!P:P)</f>
        <v>90.615384615384613</v>
      </c>
      <c r="C22" s="8">
        <f>AVERAGEIF(Dataset!B:B,"RawMatPlus",Dataset!J:J)</f>
        <v>92.84615384615384</v>
      </c>
      <c r="D22" s="11">
        <f>AVERAGEIF(Dataset!B:B,"RawMatPlus",Dataset!H:H)</f>
        <v>2.5961538461538463</v>
      </c>
      <c r="E22" s="8">
        <f>AVERAGEIF(Dataset!B:B,"RawMatPlus",Dataset!M:M)</f>
        <v>6.7692307692307692</v>
      </c>
      <c r="F22" s="4">
        <f>COUNTIF(Dataset!B:B,"RawMatPlus")</f>
        <v>13</v>
      </c>
    </row>
    <row r="23" spans="1:6" x14ac:dyDescent="0.35">
      <c r="A23" t="s">
        <v>62</v>
      </c>
      <c r="B23" s="8">
        <f>AVERAGEIF(Dataset!B:B,"GlobalChem",Dataset!P:P)</f>
        <v>90.888888888888886</v>
      </c>
      <c r="C23" s="8">
        <f>AVERAGEIF(Dataset!B:B,"GlobalChem",Dataset!J:J)</f>
        <v>92.555555555555557</v>
      </c>
      <c r="D23" s="11">
        <f>AVERAGEIF(Dataset!B:B,"GlobalChem",Dataset!H:H)</f>
        <v>2.5677777777777777</v>
      </c>
      <c r="E23" s="8">
        <f>AVERAGEIF(Dataset!B:B,"GlobalChem",Dataset!M:M)</f>
        <v>7.5555555555555554</v>
      </c>
      <c r="F23" s="4">
        <f>COUNTIF(Dataset!B:B,"GlobalChem")</f>
        <v>9</v>
      </c>
    </row>
    <row r="24" spans="1:6" x14ac:dyDescent="0.35">
      <c r="A24" t="s">
        <v>65</v>
      </c>
      <c r="B24" s="8">
        <f>AVERAGEIF(Dataset!B:B,"NextGen Pharma",Dataset!P:P)</f>
        <v>91.545454545454547</v>
      </c>
      <c r="C24" s="8">
        <f>AVERAGEIF(Dataset!B:B,"NextGen Pharma",Dataset!J:J)</f>
        <v>91.818181818181813</v>
      </c>
      <c r="D24" s="11">
        <f>AVERAGEIF(Dataset!B:B,"NextGen Pharma",Dataset!H:H)</f>
        <v>2.2190909090909092</v>
      </c>
      <c r="E24" s="8">
        <f>AVERAGEIF(Dataset!B:B,"NextGen Pharma",Dataset!M:M)</f>
        <v>4.9090909090909092</v>
      </c>
      <c r="F24" s="4">
        <f>COUNTIF(Dataset!B:B,"NextGen Pharma")</f>
        <v>11</v>
      </c>
    </row>
    <row r="25" spans="1:6" x14ac:dyDescent="0.35">
      <c r="A25" t="s">
        <v>66</v>
      </c>
      <c r="B25" s="8">
        <f>AVERAGEIF(Dataset!B:B,"PrimeLogistics",Dataset!P:P)</f>
        <v>88</v>
      </c>
      <c r="C25" s="8">
        <f>AVERAGEIF(Dataset!B:B,"PrimeLogistics",Dataset!J:J)</f>
        <v>91.428571428571431</v>
      </c>
      <c r="D25" s="11">
        <f>AVERAGEIF(Dataset!B:B,"PrimeLogistics",Dataset!H:H)</f>
        <v>2.8885714285714283</v>
      </c>
      <c r="E25" s="8">
        <f>AVERAGEIF(Dataset!B:B,"PrimeLogistics",Dataset!M:M)</f>
        <v>6.7142857142857144</v>
      </c>
      <c r="F25" s="4">
        <f>COUNTIF(Dataset!B:B,"PrimeLogistics")</f>
        <v>7</v>
      </c>
    </row>
    <row r="27" spans="1:6" ht="15.5" x14ac:dyDescent="0.35">
      <c r="A27" s="7" t="s">
        <v>158</v>
      </c>
    </row>
    <row r="28" spans="1:6" x14ac:dyDescent="0.35">
      <c r="A28" s="12" t="s">
        <v>159</v>
      </c>
      <c r="B28" s="12" t="s">
        <v>160</v>
      </c>
      <c r="C28" s="12" t="s">
        <v>161</v>
      </c>
      <c r="D28" s="12" t="s">
        <v>162</v>
      </c>
      <c r="E28" s="12" t="s">
        <v>163</v>
      </c>
    </row>
    <row r="29" spans="1:6" x14ac:dyDescent="0.35">
      <c r="A29" s="13" t="s">
        <v>164</v>
      </c>
      <c r="B29" s="13" t="s">
        <v>165</v>
      </c>
      <c r="C29" s="14">
        <v>0.03</v>
      </c>
      <c r="D29" s="13" t="str" cm="1">
        <f t="array" ref="D29">_xlfn.TEXTJOIN(", ", TRUE, IF(Dataset!H2:H51&gt;3, Dataset!A2:A51, ""))</f>
        <v>CARB123, COAT890, COAT890, COAT890, COAT890, COMP017, COMP019, COMP023, COMP024, COMP025, COMP026, COMP030, COMP036, COMP038, COMP043, COMP044, COMP048</v>
      </c>
      <c r="E29" s="15" t="s">
        <v>69</v>
      </c>
    </row>
    <row r="30" spans="1:6" x14ac:dyDescent="0.35">
      <c r="A30" s="13" t="s">
        <v>166</v>
      </c>
      <c r="B30" s="13" t="s">
        <v>167</v>
      </c>
      <c r="C30" s="14">
        <v>0.85</v>
      </c>
      <c r="D30" s="13" t="str" cm="1">
        <f t="array" ref="D30">_xlfn.TEXTJOIN(", ", TRUE, IF(Dataset!P2:P51&lt;85, Dataset!A2:A51, ""))</f>
        <v>CARB123, COAT890, COAT890, COAT890, COMP012, COMP020, COMP029, COMP031, COMP035, COMP048</v>
      </c>
      <c r="E30" s="16" t="s">
        <v>168</v>
      </c>
    </row>
    <row r="31" spans="1:6" x14ac:dyDescent="0.35">
      <c r="A31" s="13" t="s">
        <v>169</v>
      </c>
      <c r="B31" s="13" t="s">
        <v>170</v>
      </c>
      <c r="C31" s="13" t="s">
        <v>134</v>
      </c>
      <c r="D31" s="13" t="str" cm="1">
        <f t="array" ref="D31">_xlfn.TEXTJOIN(", ", TRUE, IF(Dataset!M2:M51&gt;8, Dataset!A2:A51, ""))</f>
        <v>BIND567, CARB123, COAT890, COAT890, COMP010, COMP012, COMP016, COMP025, COMP026, COMP037, COMP040, COMP046</v>
      </c>
      <c r="E31" s="17" t="s">
        <v>68</v>
      </c>
    </row>
    <row r="32" spans="1:6" x14ac:dyDescent="0.35">
      <c r="A32" s="13" t="s">
        <v>171</v>
      </c>
      <c r="B32" s="13" t="s">
        <v>172</v>
      </c>
      <c r="C32" s="14">
        <v>0.9</v>
      </c>
      <c r="D32" s="13" t="str" cm="1">
        <f t="array" ref="D32">_xlfn.TEXTJOIN(", ", TRUE, IF(Dataset!J2:J51&lt;90, Dataset!A2:A51, ""))</f>
        <v>CARB123, CARB123, COAT890, COAT890, COMP010, COMP023, COMP024, COMP026, COMP035, COMP037, COMP047, COMP048, COMP049</v>
      </c>
      <c r="E32" s="15" t="s">
        <v>69</v>
      </c>
    </row>
    <row r="33" spans="1:5" x14ac:dyDescent="0.35">
      <c r="A33" s="13" t="s">
        <v>173</v>
      </c>
      <c r="B33" s="13" t="s">
        <v>174</v>
      </c>
      <c r="C33" s="13" t="s">
        <v>175</v>
      </c>
      <c r="D33" s="13" t="str" cm="1">
        <f t="array" ref="D33">_xlfn.TEXTJOIN(", ", TRUE, IF(Dataset!Q2:Q51&gt;400, Dataset!A2:A51, ""))</f>
        <v>BIND567, COAT890, COAT890, COMP013, COMP019, COMP020, COMP023, COMP030, COMP036, COMP037, COMP045, COMP048</v>
      </c>
      <c r="E33" s="17" t="s">
        <v>68</v>
      </c>
    </row>
    <row r="34" spans="1:5" x14ac:dyDescent="0.35">
      <c r="A34" s="13" t="s">
        <v>176</v>
      </c>
      <c r="B34" s="13" t="s">
        <v>177</v>
      </c>
      <c r="C34" s="14">
        <v>0.85</v>
      </c>
      <c r="D34" s="13" t="str" cm="1">
        <f t="array" ref="D34">_xlfn.TEXTJOIN(", ", TRUE, IF(Dataset!S2:S51&lt;85, Dataset!A2:A51, ""))</f>
        <v>CARB123, COAT890, COAT890, COMP010, COMP012, COMP013, COMP014, COMP015, COMP017, COMP018, COMP019, COMP022, COMP031, COMP037, COMP038, COMP043, COMP045, COMP048</v>
      </c>
      <c r="E34" s="17" t="s">
        <v>68</v>
      </c>
    </row>
    <row r="36" spans="1:5" ht="15.5" x14ac:dyDescent="0.35">
      <c r="A36" s="7" t="s">
        <v>178</v>
      </c>
    </row>
    <row r="37" spans="1:5" x14ac:dyDescent="0.35">
      <c r="A37" s="12" t="s">
        <v>160</v>
      </c>
      <c r="B37" s="12" t="s">
        <v>179</v>
      </c>
      <c r="C37" s="12" t="s">
        <v>180</v>
      </c>
    </row>
    <row r="38" spans="1:5" x14ac:dyDescent="0.35">
      <c r="A38" s="13" t="s">
        <v>181</v>
      </c>
      <c r="B38" s="13">
        <f>COUNTIF(Dataset!P2:P51,"&lt;85")</f>
        <v>10</v>
      </c>
      <c r="C38" s="13" t="str">
        <f>IF(B38&gt;5,"⚠️ Action Required","✓ Acceptable")</f>
        <v>⚠️ Action Required</v>
      </c>
    </row>
    <row r="39" spans="1:5" x14ac:dyDescent="0.35">
      <c r="A39" s="13" t="s">
        <v>182</v>
      </c>
      <c r="B39" s="13">
        <f>COUNTIF(Dataset!H2:H51,"&gt;3")</f>
        <v>17</v>
      </c>
      <c r="C39" s="13" t="str">
        <f>IF(B39&gt;10,"⚠️ Action Required","✓ Acceptable")</f>
        <v>⚠️ Action Required</v>
      </c>
    </row>
    <row r="40" spans="1:5" x14ac:dyDescent="0.35">
      <c r="A40" s="13" t="s">
        <v>183</v>
      </c>
      <c r="B40" s="13">
        <f>AVERAGE(Dataset!P2:P51)</f>
        <v>89.96</v>
      </c>
      <c r="C40" s="13" t="str">
        <f>IF(B40&lt;90,"⚠️ Below Target","✓ On Target")</f>
        <v>⚠️ Below Target</v>
      </c>
    </row>
    <row r="41" spans="1:5" x14ac:dyDescent="0.35">
      <c r="A41" s="13" t="s">
        <v>184</v>
      </c>
      <c r="B41" s="13">
        <f>AVERAGE(Dataset!J2:J51)</f>
        <v>92.44</v>
      </c>
      <c r="C41" s="13" t="str">
        <f>IF(B41&lt;92,"⚠️ Below Target","✓ On Target")</f>
        <v>✓ On Target</v>
      </c>
    </row>
    <row r="42" spans="1:5" x14ac:dyDescent="0.35">
      <c r="A42" s="13" t="s">
        <v>185</v>
      </c>
      <c r="B42" s="13">
        <f>SUM(Dataset!Q2:Q51)</f>
        <v>13232</v>
      </c>
      <c r="C42" s="13" t="str">
        <f>IF(B42&gt;10000,"⚠️ High","✓ Manageable")</f>
        <v>⚠️ High</v>
      </c>
    </row>
    <row r="44" spans="1:5" ht="15.5" x14ac:dyDescent="0.35">
      <c r="A44" s="7" t="s">
        <v>186</v>
      </c>
    </row>
    <row r="45" spans="1:5" x14ac:dyDescent="0.35">
      <c r="A45" s="12" t="s">
        <v>187</v>
      </c>
      <c r="B45" s="12" t="s">
        <v>188</v>
      </c>
      <c r="C45" s="12" t="s">
        <v>189</v>
      </c>
      <c r="D45" s="12" t="s">
        <v>190</v>
      </c>
    </row>
    <row r="46" spans="1:5" x14ac:dyDescent="0.35">
      <c r="A46" s="16" t="s">
        <v>191</v>
      </c>
      <c r="B46" s="13" t="s">
        <v>192</v>
      </c>
      <c r="C46" s="13" t="s">
        <v>193</v>
      </c>
      <c r="D46" s="13" t="s">
        <v>194</v>
      </c>
    </row>
    <row r="47" spans="1:5" x14ac:dyDescent="0.35">
      <c r="A47" s="15" t="s">
        <v>195</v>
      </c>
      <c r="B47" s="13" t="s">
        <v>196</v>
      </c>
      <c r="C47" s="13" t="s">
        <v>197</v>
      </c>
      <c r="D47" s="13" t="s">
        <v>198</v>
      </c>
    </row>
    <row r="48" spans="1:5" x14ac:dyDescent="0.35">
      <c r="A48" s="15" t="s">
        <v>199</v>
      </c>
      <c r="B48" s="13" t="s">
        <v>200</v>
      </c>
      <c r="C48" s="13" t="s">
        <v>201</v>
      </c>
      <c r="D48" s="13" t="s">
        <v>202</v>
      </c>
    </row>
    <row r="49" spans="1:4" x14ac:dyDescent="0.35">
      <c r="A49" s="17" t="s">
        <v>203</v>
      </c>
      <c r="B49" s="13" t="s">
        <v>204</v>
      </c>
      <c r="C49" s="13" t="s">
        <v>205</v>
      </c>
      <c r="D49" s="13" t="s">
        <v>206</v>
      </c>
    </row>
    <row r="50" spans="1:4" x14ac:dyDescent="0.35">
      <c r="A50" s="17" t="s">
        <v>207</v>
      </c>
      <c r="B50" s="13" t="s">
        <v>208</v>
      </c>
      <c r="C50" s="13" t="s">
        <v>209</v>
      </c>
      <c r="D50" s="13" t="s">
        <v>210</v>
      </c>
    </row>
    <row r="51" spans="1:4" x14ac:dyDescent="0.35">
      <c r="A51" s="17" t="s">
        <v>211</v>
      </c>
      <c r="B51" s="13" t="s">
        <v>212</v>
      </c>
      <c r="C51" s="13" t="s">
        <v>213</v>
      </c>
      <c r="D51" s="13" t="s">
        <v>214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Rudnikova, Maria [JANRU]</cp:lastModifiedBy>
  <dcterms:created xsi:type="dcterms:W3CDTF">2024-12-04T18:55:38Z</dcterms:created>
  <dcterms:modified xsi:type="dcterms:W3CDTF">2026-05-25T20:41:22Z</dcterms:modified>
  <cp:category/>
</cp:coreProperties>
</file>